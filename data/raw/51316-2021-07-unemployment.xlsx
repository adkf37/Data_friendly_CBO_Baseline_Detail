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S:\Supplemental Data Tables\2021\Summer 2021 Baseline\4-Second Drafts\"/>
    </mc:Choice>
  </mc:AlternateContent>
  <xr:revisionPtr revIDLastSave="0" documentId="13_ncr:1_{5C52075D-91E9-405B-8932-FF3C60069502}" xr6:coauthVersionLast="46" xr6:coauthVersionMax="46" xr10:uidLastSave="{00000000-0000-0000-0000-000000000000}"/>
  <bookViews>
    <workbookView xWindow="-120" yWindow="-120" windowWidth="29040" windowHeight="15840" xr2:uid="{00000000-000D-0000-FFFF-FFFF00000000}"/>
  </bookViews>
  <sheets>
    <sheet name="UI and TAA_07-2021" sheetId="1" r:id="rId1"/>
  </sheets>
  <definedNames>
    <definedName name="_xlnm.Print_Area" localSheetId="0">'UI and TAA_07-2021'!$B$3:$R$66</definedName>
    <definedName name="_xlnm.Print_Titles" localSheetId="0">'UI and TAA_07-2021'!$3:$7</definedName>
    <definedName name="Z_5975234C_A7DF_4D39_B3C0_5B4DB450D67E_.wvu.PrintArea" localSheetId="0" hidden="1">'UI and TAA_07-2021'!$B$3:$R$65</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53" i="1" l="1"/>
  <c r="R53" i="1"/>
  <c r="Q54" i="1" l="1"/>
  <c r="R54" i="1"/>
</calcChain>
</file>

<file path=xl/sharedStrings.xml><?xml version="1.0" encoding="utf-8"?>
<sst xmlns="http://schemas.openxmlformats.org/spreadsheetml/2006/main" count="68" uniqueCount="34">
  <si>
    <t/>
  </si>
  <si>
    <t>Congressional Budget Office</t>
  </si>
  <si>
    <t>Baseline Projections</t>
  </si>
  <si>
    <t>Unemployment Compensation</t>
  </si>
  <si>
    <t>Budget Authority</t>
  </si>
  <si>
    <t>n.a.</t>
  </si>
  <si>
    <t>BUDGET INFORMATION</t>
  </si>
  <si>
    <t xml:space="preserve">Budget Authority </t>
  </si>
  <si>
    <t>Estimated Outlays</t>
  </si>
  <si>
    <t>Unemployment Compensation Programs</t>
  </si>
  <si>
    <t>Regular Benefits</t>
  </si>
  <si>
    <t>Extended Benefits</t>
  </si>
  <si>
    <t>DETAIL FOR REGULAR UNEMPLOYMENT BENEFITS</t>
  </si>
  <si>
    <t>First Payments (Millions of people)</t>
  </si>
  <si>
    <t>Average Weekly Benefit (Dollars)</t>
  </si>
  <si>
    <t>Duration (Weeks)</t>
  </si>
  <si>
    <t>Labor Force (Millions of people)</t>
  </si>
  <si>
    <t>Unemployment Rate (Percent)</t>
  </si>
  <si>
    <t>Federal Pandemic Unemployment Compensation</t>
  </si>
  <si>
    <t>Pandemic Unemployment Assistance</t>
  </si>
  <si>
    <t>Pandemic Emergency Unemployment Compensation</t>
  </si>
  <si>
    <t>By fiscal year</t>
  </si>
  <si>
    <t>Millions of dollars, by fiscal year</t>
  </si>
  <si>
    <t>a.</t>
  </si>
  <si>
    <t>2022-2026</t>
  </si>
  <si>
    <t>2022-2031</t>
  </si>
  <si>
    <t>Consistent with section 257 of the Balanced Budget and Emergency Deficit Control Act of 1985, CBO assumes that Trade Adjustment Assistance outlays continue in the baseline after the current authorization expires in June 2022. Those amounts include cash and training benefits.</t>
  </si>
  <si>
    <t>15 above notes; 4 between main note and a. b. c. notes</t>
  </si>
  <si>
    <t>See next page for notes.</t>
  </si>
  <si>
    <t>for this table set Print Titles to rows 3-7; omit years.</t>
  </si>
  <si>
    <t>n.a. = not applicable.</t>
  </si>
  <si>
    <r>
      <t>Trade Adjustment Assistance</t>
    </r>
    <r>
      <rPr>
        <vertAlign val="superscript"/>
        <sz val="10"/>
        <rFont val="Arial"/>
        <family val="2"/>
      </rPr>
      <t>a</t>
    </r>
  </si>
  <si>
    <t>Recent legislation temporarily expanded unemployment compensation (Pandemic Unemployment Assistance) to people who do not qualify for regular benefits and provided additional weeks of benefits (Pandemic Emergency Unemployment Compensation) to people who exhaust their regular benefits. The legislation also temporarily increased the benefit amount for people receiving unemployment compensation (Federal Pandemic Unemployment Compensation). All of those benefits are federally funded. These amounts include the estimated effects of states opting out of the expanded unemployment compensation programs in 2021.</t>
  </si>
  <si>
    <t>July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</si>
</sst>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0.0"/>
    <numFmt numFmtId="166" formatCode="###.\ "/>
  </numFmts>
  <fonts count="14" x14ac:knownFonts="1">
    <font>
      <sz val="11"/>
      <color theme="1"/>
      <name val="Calibri"/>
      <family val="2"/>
      <scheme val="minor"/>
    </font>
    <font>
      <i/>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sz val="11"/>
      <color rgb="FFFF0000"/>
      <name val="Arial"/>
      <family val="2"/>
    </font>
    <font>
      <sz val="10"/>
      <color rgb="FFFF0000"/>
      <name val="Arial"/>
      <family val="2"/>
    </font>
    <font>
      <b/>
      <sz val="10"/>
      <name val="Arial"/>
      <family val="2"/>
    </font>
    <font>
      <sz val="10"/>
      <name val="Arial"/>
      <family val="2"/>
    </font>
    <font>
      <vertAlign val="superscript"/>
      <sz val="10"/>
      <name val="Arial"/>
      <family val="2"/>
    </font>
    <font>
      <sz val="10"/>
      <color theme="1"/>
      <name val="Arial"/>
      <family val="2"/>
    </font>
    <font>
      <sz val="8"/>
      <color rgb="FFFF000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bottom style="dashed">
        <color auto="1"/>
      </bottom>
      <diagonal/>
    </border>
    <border>
      <left/>
      <right/>
      <top/>
      <bottom style="dotted">
        <color indexed="64"/>
      </bottom>
      <diagonal/>
    </border>
  </borders>
  <cellStyleXfs count="1">
    <xf numFmtId="0" fontId="0" fillId="0" borderId="0"/>
  </cellStyleXfs>
  <cellXfs count="78">
    <xf numFmtId="0" fontId="0" fillId="0" borderId="0" xfId="0"/>
    <xf numFmtId="0" fontId="1" fillId="0" borderId="0" xfId="0" applyFont="1" applyAlignment="1">
      <alignment horizontal="left"/>
    </xf>
    <xf numFmtId="0" fontId="2" fillId="0" borderId="0" xfId="0" applyFont="1"/>
    <xf numFmtId="0" fontId="3" fillId="2" borderId="0" xfId="0" applyFont="1" applyFill="1" applyBorder="1" applyAlignment="1">
      <alignment horizontal="left" vertical="center"/>
    </xf>
    <xf numFmtId="0" fontId="4" fillId="2" borderId="0" xfId="0" applyFont="1" applyFill="1" applyBorder="1" applyAlignment="1">
      <alignment horizontal="left" vertical="center"/>
    </xf>
    <xf numFmtId="0" fontId="5" fillId="2" borderId="0" xfId="0" applyFont="1" applyFill="1" applyBorder="1" applyAlignment="1">
      <alignment vertical="center"/>
    </xf>
    <xf numFmtId="0" fontId="6" fillId="2" borderId="0" xfId="0" applyFont="1" applyFill="1" applyBorder="1" applyAlignment="1">
      <alignment horizontal="left" vertical="center"/>
    </xf>
    <xf numFmtId="164" fontId="5" fillId="2" borderId="0" xfId="0" applyNumberFormat="1" applyFont="1" applyFill="1" applyBorder="1" applyAlignment="1">
      <alignment horizontal="right" vertical="center"/>
    </xf>
    <xf numFmtId="0" fontId="5" fillId="2" borderId="0" xfId="0" applyFont="1" applyFill="1" applyBorder="1" applyAlignment="1">
      <alignment horizontal="right" vertical="center"/>
    </xf>
    <xf numFmtId="0" fontId="3" fillId="3" borderId="0" xfId="0" applyFont="1" applyFill="1" applyBorder="1" applyAlignment="1">
      <alignment horizontal="left" vertical="center"/>
    </xf>
    <xf numFmtId="0" fontId="5" fillId="3" borderId="0" xfId="0" applyFont="1" applyFill="1" applyBorder="1"/>
    <xf numFmtId="0" fontId="5" fillId="3" borderId="0" xfId="0" applyFont="1" applyFill="1" applyBorder="1" applyAlignment="1">
      <alignment vertical="center"/>
    </xf>
    <xf numFmtId="0" fontId="2" fillId="2" borderId="0" xfId="0" applyFont="1" applyFill="1" applyBorder="1"/>
    <xf numFmtId="0" fontId="2" fillId="0" borderId="0" xfId="0" applyFont="1" applyBorder="1"/>
    <xf numFmtId="0" fontId="7" fillId="0" borderId="0" xfId="0" applyFont="1"/>
    <xf numFmtId="0" fontId="2" fillId="2" borderId="0" xfId="0" applyFont="1" applyFill="1"/>
    <xf numFmtId="165" fontId="2" fillId="2" borderId="0" xfId="0" applyNumberFormat="1" applyFont="1" applyFill="1" applyBorder="1" applyAlignment="1">
      <alignment horizontal="left"/>
    </xf>
    <xf numFmtId="0" fontId="2" fillId="0" borderId="0" xfId="0" applyFont="1" applyAlignment="1">
      <alignment wrapText="1"/>
    </xf>
    <xf numFmtId="0" fontId="7" fillId="2" borderId="0" xfId="0" applyFont="1" applyFill="1"/>
    <xf numFmtId="0" fontId="8" fillId="0" borderId="0" xfId="0" applyFont="1" applyAlignment="1">
      <alignment horizontal="left"/>
    </xf>
    <xf numFmtId="0" fontId="7" fillId="0" borderId="0" xfId="0" applyFont="1" applyAlignment="1">
      <alignment horizontal="center"/>
    </xf>
    <xf numFmtId="0" fontId="7" fillId="0" borderId="0" xfId="0" applyFont="1" applyAlignment="1">
      <alignment horizontal="center" vertical="center"/>
    </xf>
    <xf numFmtId="0" fontId="9" fillId="2" borderId="0" xfId="0" applyFont="1" applyFill="1" applyBorder="1" applyAlignment="1">
      <alignment horizontal="right" vertical="top" wrapText="1"/>
    </xf>
    <xf numFmtId="0" fontId="10" fillId="2" borderId="0" xfId="0" applyFont="1" applyFill="1" applyBorder="1" applyAlignment="1">
      <alignment horizontal="left" vertical="top"/>
    </xf>
    <xf numFmtId="0" fontId="9" fillId="2" borderId="0" xfId="0" applyFont="1" applyFill="1" applyBorder="1" applyAlignment="1">
      <alignment horizontal="left" vertical="top"/>
    </xf>
    <xf numFmtId="0" fontId="9" fillId="2" borderId="0" xfId="0" applyFont="1" applyFill="1" applyBorder="1" applyAlignment="1">
      <alignment horizontal="right" wrapText="1"/>
    </xf>
    <xf numFmtId="0" fontId="9" fillId="4" borderId="0" xfId="0" applyFont="1" applyFill="1" applyBorder="1" applyAlignment="1">
      <alignment horizontal="right" wrapText="1"/>
    </xf>
    <xf numFmtId="166" fontId="9" fillId="2" borderId="0" xfId="0" applyNumberFormat="1" applyFont="1" applyFill="1" applyAlignment="1"/>
    <xf numFmtId="0" fontId="10" fillId="2" borderId="0" xfId="0" applyFont="1" applyFill="1" applyAlignment="1"/>
    <xf numFmtId="0" fontId="10" fillId="2" borderId="0" xfId="0" applyFont="1" applyFill="1" applyAlignment="1">
      <alignment horizontal="right" vertical="top"/>
    </xf>
    <xf numFmtId="0" fontId="10" fillId="4" borderId="0" xfId="0" applyFont="1" applyFill="1" applyAlignment="1">
      <alignment horizontal="right" vertical="top"/>
    </xf>
    <xf numFmtId="166" fontId="10" fillId="2" borderId="0" xfId="0" applyNumberFormat="1" applyFont="1" applyFill="1" applyAlignment="1"/>
    <xf numFmtId="3" fontId="9" fillId="2" borderId="0" xfId="0" applyNumberFormat="1" applyFont="1" applyFill="1" applyAlignment="1"/>
    <xf numFmtId="3" fontId="10" fillId="2" borderId="0" xfId="0" applyNumberFormat="1" applyFont="1" applyFill="1" applyAlignment="1">
      <alignment horizontal="right" vertical="top"/>
    </xf>
    <xf numFmtId="3" fontId="9" fillId="4" borderId="0" xfId="0" applyNumberFormat="1" applyFont="1" applyFill="1" applyAlignment="1">
      <alignment horizontal="right" vertical="top"/>
    </xf>
    <xf numFmtId="3" fontId="10" fillId="2" borderId="0" xfId="0" applyNumberFormat="1" applyFont="1" applyFill="1" applyAlignment="1"/>
    <xf numFmtId="3" fontId="9" fillId="2" borderId="0" xfId="0" applyNumberFormat="1" applyFont="1" applyFill="1" applyAlignment="1">
      <alignment horizontal="right" vertical="top"/>
    </xf>
    <xf numFmtId="3" fontId="1" fillId="2" borderId="0" xfId="0" applyNumberFormat="1" applyFont="1" applyFill="1" applyAlignment="1"/>
    <xf numFmtId="0" fontId="10" fillId="2" borderId="3" xfId="0" applyFont="1" applyFill="1" applyBorder="1" applyAlignment="1"/>
    <xf numFmtId="3" fontId="1" fillId="2" borderId="3" xfId="0" applyNumberFormat="1" applyFont="1" applyFill="1" applyBorder="1" applyAlignment="1"/>
    <xf numFmtId="3" fontId="9" fillId="2" borderId="3" xfId="0" applyNumberFormat="1" applyFont="1" applyFill="1" applyBorder="1" applyAlignment="1"/>
    <xf numFmtId="3" fontId="9" fillId="2" borderId="3" xfId="0" applyNumberFormat="1" applyFont="1" applyFill="1" applyBorder="1" applyAlignment="1">
      <alignment horizontal="right" vertical="top"/>
    </xf>
    <xf numFmtId="3" fontId="9" fillId="4" borderId="3" xfId="0" applyNumberFormat="1" applyFont="1" applyFill="1" applyBorder="1" applyAlignment="1">
      <alignment horizontal="right" vertical="top"/>
    </xf>
    <xf numFmtId="165" fontId="10" fillId="2" borderId="0" xfId="0" applyNumberFormat="1" applyFont="1" applyFill="1" applyAlignment="1">
      <alignment wrapText="1"/>
    </xf>
    <xf numFmtId="3" fontId="10" fillId="2" borderId="0" xfId="0" applyNumberFormat="1" applyFont="1" applyFill="1" applyBorder="1" applyAlignment="1">
      <alignment horizontal="right"/>
    </xf>
    <xf numFmtId="3" fontId="10" fillId="4" borderId="0" xfId="0" applyNumberFormat="1" applyFont="1" applyFill="1" applyBorder="1" applyAlignment="1">
      <alignment horizontal="right"/>
    </xf>
    <xf numFmtId="166" fontId="1" fillId="2" borderId="0" xfId="0" applyNumberFormat="1" applyFont="1" applyFill="1" applyAlignment="1"/>
    <xf numFmtId="3" fontId="10" fillId="2" borderId="0" xfId="0" applyNumberFormat="1" applyFont="1" applyFill="1" applyBorder="1" applyAlignment="1"/>
    <xf numFmtId="165" fontId="10" fillId="2" borderId="0" xfId="0" applyNumberFormat="1" applyFont="1" applyFill="1" applyAlignment="1">
      <alignment horizontal="right" vertical="top"/>
    </xf>
    <xf numFmtId="1" fontId="10" fillId="2" borderId="0" xfId="0" applyNumberFormat="1" applyFont="1" applyFill="1" applyAlignment="1">
      <alignment horizontal="right" vertical="top"/>
    </xf>
    <xf numFmtId="3" fontId="10" fillId="2" borderId="2" xfId="0" applyNumberFormat="1" applyFont="1" applyFill="1" applyBorder="1" applyAlignment="1">
      <alignment horizontal="right"/>
    </xf>
    <xf numFmtId="166" fontId="10" fillId="2" borderId="2" xfId="0" applyNumberFormat="1" applyFont="1" applyFill="1" applyBorder="1" applyAlignment="1">
      <alignment horizontal="left" vertical="top"/>
    </xf>
    <xf numFmtId="3" fontId="10" fillId="2" borderId="2" xfId="0" applyNumberFormat="1" applyFont="1" applyFill="1" applyBorder="1" applyAlignment="1">
      <alignment vertical="top" wrapText="1"/>
    </xf>
    <xf numFmtId="166" fontId="10" fillId="2" borderId="0" xfId="0" applyNumberFormat="1" applyFont="1" applyFill="1" applyAlignment="1">
      <alignment horizontal="left" vertical="top"/>
    </xf>
    <xf numFmtId="3" fontId="10" fillId="2" borderId="0" xfId="0" applyNumberFormat="1" applyFont="1" applyFill="1" applyAlignment="1">
      <alignment vertical="top" wrapText="1"/>
    </xf>
    <xf numFmtId="0" fontId="10" fillId="2" borderId="0" xfId="0" applyFont="1" applyFill="1" applyAlignment="1">
      <alignment vertical="center"/>
    </xf>
    <xf numFmtId="0" fontId="10" fillId="2" borderId="0" xfId="0" applyFont="1" applyFill="1"/>
    <xf numFmtId="165" fontId="10" fillId="2" borderId="0" xfId="0" applyNumberFormat="1" applyFont="1" applyFill="1" applyBorder="1" applyAlignment="1">
      <alignment horizontal="left" vertical="top" wrapText="1"/>
    </xf>
    <xf numFmtId="0" fontId="10" fillId="2" borderId="0" xfId="0" applyFont="1" applyFill="1" applyBorder="1"/>
    <xf numFmtId="165" fontId="10" fillId="2" borderId="0" xfId="0" applyNumberFormat="1" applyFont="1" applyFill="1" applyBorder="1" applyAlignment="1">
      <alignment vertical="top"/>
    </xf>
    <xf numFmtId="0" fontId="10" fillId="0" borderId="0" xfId="0" applyFont="1"/>
    <xf numFmtId="165" fontId="10" fillId="2" borderId="0" xfId="0" applyNumberFormat="1" applyFont="1" applyFill="1" applyBorder="1" applyAlignment="1">
      <alignment horizontal="left"/>
    </xf>
    <xf numFmtId="3" fontId="9" fillId="2" borderId="0" xfId="0" applyNumberFormat="1" applyFont="1" applyFill="1" applyAlignment="1">
      <alignment horizontal="centerContinuous" vertical="top"/>
    </xf>
    <xf numFmtId="0" fontId="9" fillId="2" borderId="1" xfId="0" applyFont="1" applyFill="1" applyBorder="1" applyAlignment="1">
      <alignment horizontal="right" vertical="top" wrapText="1"/>
    </xf>
    <xf numFmtId="0" fontId="10" fillId="2" borderId="1" xfId="0" applyFont="1" applyFill="1" applyBorder="1" applyAlignment="1">
      <alignment horizontal="left" vertical="top"/>
    </xf>
    <xf numFmtId="0" fontId="9" fillId="2" borderId="1" xfId="0" applyFont="1" applyFill="1" applyBorder="1" applyAlignment="1">
      <alignment horizontal="left" vertical="top"/>
    </xf>
    <xf numFmtId="0" fontId="9" fillId="2" borderId="1" xfId="0" applyFont="1" applyFill="1" applyBorder="1" applyAlignment="1">
      <alignment horizontal="right" wrapText="1"/>
    </xf>
    <xf numFmtId="0" fontId="2" fillId="0" borderId="0" xfId="0" applyFont="1" applyAlignment="1">
      <alignment horizontal="right"/>
    </xf>
    <xf numFmtId="0" fontId="13" fillId="0" borderId="0" xfId="0" applyFont="1" applyAlignment="1">
      <alignment horizontal="left"/>
    </xf>
    <xf numFmtId="165" fontId="2" fillId="2" borderId="0" xfId="0" applyNumberFormat="1" applyFont="1" applyFill="1" applyBorder="1" applyAlignment="1">
      <alignment horizontal="left" wrapText="1"/>
    </xf>
    <xf numFmtId="0" fontId="12" fillId="2" borderId="0" xfId="0" applyFont="1" applyFill="1" applyAlignment="1">
      <alignment vertical="center" wrapText="1"/>
    </xf>
    <xf numFmtId="0" fontId="10" fillId="0" borderId="0" xfId="0" applyFont="1" applyAlignment="1">
      <alignment horizontal="left" vertical="top" wrapText="1"/>
    </xf>
    <xf numFmtId="0" fontId="8" fillId="0" borderId="0" xfId="0" applyFont="1" applyAlignment="1">
      <alignment wrapText="1"/>
    </xf>
    <xf numFmtId="49" fontId="2" fillId="2" borderId="0" xfId="0" quotePrefix="1" applyNumberFormat="1" applyFont="1" applyFill="1" applyBorder="1" applyAlignment="1">
      <alignment horizontal="right" vertical="center"/>
    </xf>
    <xf numFmtId="49" fontId="2" fillId="2" borderId="0" xfId="0" applyNumberFormat="1" applyFont="1" applyFill="1" applyBorder="1" applyAlignment="1">
      <alignment horizontal="right" vertical="center"/>
    </xf>
    <xf numFmtId="0" fontId="9" fillId="4" borderId="0" xfId="0" applyFont="1" applyFill="1" applyBorder="1" applyAlignment="1">
      <alignment horizontal="right" wrapText="1"/>
    </xf>
    <xf numFmtId="0" fontId="9" fillId="4" borderId="1" xfId="0" applyFont="1" applyFill="1" applyBorder="1" applyAlignment="1">
      <alignment horizontal="right" wrapText="1"/>
    </xf>
    <xf numFmtId="0" fontId="3" fillId="3" borderId="0" xfId="0" applyFont="1" applyFill="1" applyBorder="1" applyAlignment="1">
      <alignment horizontal="left" vertical="center"/>
    </xf>
  </cellXfs>
  <cellStyles count="1">
    <cellStyle name="Normal" xfId="0" builtinId="0"/>
  </cellStyles>
  <dxfs count="21">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U74"/>
  <sheetViews>
    <sheetView tabSelected="1" zoomScaleNormal="100" workbookViewId="0">
      <selection sqref="A1:XFD1"/>
    </sheetView>
  </sheetViews>
  <sheetFormatPr defaultColWidth="9.28515625" defaultRowHeight="14.25" x14ac:dyDescent="0.2"/>
  <cols>
    <col min="1" max="1" width="9.28515625" style="2"/>
    <col min="2" max="2" width="2.7109375" style="2" customWidth="1"/>
    <col min="3" max="3" width="8" style="2" customWidth="1"/>
    <col min="4" max="4" width="40.7109375" style="2" customWidth="1"/>
    <col min="5" max="15" width="8.7109375" style="2" customWidth="1"/>
    <col min="16" max="16" width="0.85546875" style="2" customWidth="1"/>
    <col min="17" max="18" width="8.7109375" style="2" customWidth="1"/>
    <col min="19" max="16384" width="9.28515625" style="2"/>
  </cols>
  <sheetData>
    <row r="1" spans="1:21" s="14" customFormat="1" ht="15" customHeight="1" x14ac:dyDescent="0.2">
      <c r="A1" s="19"/>
      <c r="D1" s="20"/>
      <c r="F1" s="20"/>
      <c r="N1" s="68"/>
      <c r="O1" s="68"/>
      <c r="Q1" s="20"/>
      <c r="R1" s="21"/>
    </row>
    <row r="2" spans="1:21" x14ac:dyDescent="0.2">
      <c r="A2" s="1"/>
      <c r="K2" s="67"/>
    </row>
    <row r="3" spans="1:21" ht="18" x14ac:dyDescent="0.2">
      <c r="B3" s="3"/>
      <c r="C3" s="3"/>
      <c r="D3" s="4" t="s">
        <v>1</v>
      </c>
      <c r="E3" s="5"/>
      <c r="F3" s="5"/>
      <c r="G3" s="5"/>
      <c r="H3" s="5"/>
      <c r="I3" s="5"/>
      <c r="J3" s="5"/>
      <c r="K3" s="5"/>
      <c r="L3" s="5"/>
      <c r="M3" s="73" t="s">
        <v>33</v>
      </c>
      <c r="N3" s="74"/>
      <c r="O3" s="74"/>
      <c r="P3" s="74"/>
      <c r="Q3" s="74"/>
      <c r="R3" s="74"/>
      <c r="T3" s="14"/>
    </row>
    <row r="4" spans="1:21" ht="18" x14ac:dyDescent="0.2">
      <c r="B4" s="3"/>
      <c r="C4" s="3"/>
      <c r="D4" s="6" t="s">
        <v>2</v>
      </c>
      <c r="E4" s="5"/>
      <c r="F4" s="5"/>
      <c r="G4" s="5"/>
      <c r="H4" s="5"/>
      <c r="I4" s="5"/>
      <c r="J4" s="5"/>
      <c r="K4" s="5"/>
      <c r="L4" s="5"/>
      <c r="M4" s="7"/>
      <c r="N4" s="8"/>
      <c r="O4" s="8"/>
      <c r="P4" s="8"/>
      <c r="Q4" s="8"/>
      <c r="R4" s="8"/>
    </row>
    <row r="5" spans="1:21" ht="18" x14ac:dyDescent="0.2">
      <c r="B5" s="3"/>
      <c r="C5" s="3"/>
      <c r="D5" s="3"/>
      <c r="E5" s="5"/>
      <c r="F5" s="5"/>
      <c r="G5" s="5"/>
      <c r="H5" s="5"/>
      <c r="I5" s="5"/>
      <c r="J5" s="5"/>
      <c r="K5" s="5"/>
      <c r="L5" s="5"/>
      <c r="M5" s="7"/>
      <c r="N5" s="8"/>
      <c r="O5" s="8"/>
      <c r="P5" s="8"/>
      <c r="Q5" s="8"/>
      <c r="R5" s="8"/>
    </row>
    <row r="6" spans="1:21" ht="18" x14ac:dyDescent="0.25">
      <c r="B6" s="9"/>
      <c r="C6" s="9"/>
      <c r="D6" s="10"/>
      <c r="E6" s="11"/>
      <c r="F6" s="10"/>
      <c r="G6" s="10"/>
      <c r="H6" s="10"/>
      <c r="I6" s="10"/>
      <c r="J6" s="10"/>
      <c r="K6" s="10"/>
      <c r="L6" s="10"/>
      <c r="M6" s="10"/>
      <c r="N6" s="10"/>
      <c r="O6" s="10"/>
      <c r="P6" s="10"/>
      <c r="Q6" s="10"/>
      <c r="R6" s="10"/>
    </row>
    <row r="7" spans="1:21" ht="18" x14ac:dyDescent="0.25">
      <c r="B7" s="77" t="s">
        <v>3</v>
      </c>
      <c r="C7" s="77"/>
      <c r="D7" s="77"/>
      <c r="E7" s="11"/>
      <c r="F7" s="10"/>
      <c r="G7" s="10"/>
      <c r="H7" s="10"/>
      <c r="I7" s="10"/>
      <c r="J7" s="10"/>
      <c r="K7" s="10"/>
      <c r="L7" s="10"/>
      <c r="M7" s="10"/>
      <c r="N7" s="10"/>
      <c r="O7" s="10"/>
      <c r="P7" s="10"/>
      <c r="Q7" s="10"/>
      <c r="R7" s="10"/>
    </row>
    <row r="8" spans="1:21" ht="15" customHeight="1" x14ac:dyDescent="0.2">
      <c r="B8" s="58"/>
      <c r="C8" s="23"/>
      <c r="D8" s="24"/>
      <c r="E8" s="62"/>
      <c r="F8" s="62"/>
      <c r="G8" s="62"/>
      <c r="H8" s="62"/>
      <c r="I8" s="62"/>
      <c r="J8" s="62"/>
      <c r="K8" s="62"/>
      <c r="L8" s="62"/>
      <c r="M8" s="62"/>
      <c r="N8" s="62"/>
      <c r="O8" s="58"/>
      <c r="P8" s="58"/>
      <c r="Q8" s="75" t="s">
        <v>24</v>
      </c>
      <c r="R8" s="75" t="s">
        <v>25</v>
      </c>
      <c r="T8" s="14"/>
    </row>
    <row r="9" spans="1:21" ht="15" customHeight="1" x14ac:dyDescent="0.2">
      <c r="A9" s="13"/>
      <c r="B9" s="63"/>
      <c r="C9" s="64"/>
      <c r="D9" s="65"/>
      <c r="E9" s="66">
        <v>2021</v>
      </c>
      <c r="F9" s="66">
        <v>2022</v>
      </c>
      <c r="G9" s="66">
        <v>2023</v>
      </c>
      <c r="H9" s="66">
        <v>2024</v>
      </c>
      <c r="I9" s="66">
        <v>2025</v>
      </c>
      <c r="J9" s="66">
        <v>2026</v>
      </c>
      <c r="K9" s="66">
        <v>2027</v>
      </c>
      <c r="L9" s="66">
        <v>2028</v>
      </c>
      <c r="M9" s="66">
        <v>2029</v>
      </c>
      <c r="N9" s="66">
        <v>2030</v>
      </c>
      <c r="O9" s="66">
        <v>2031</v>
      </c>
      <c r="P9" s="66"/>
      <c r="Q9" s="76"/>
      <c r="R9" s="76"/>
    </row>
    <row r="10" spans="1:21" ht="7.15" customHeight="1" x14ac:dyDescent="0.2">
      <c r="A10" s="13"/>
      <c r="B10" s="22"/>
      <c r="C10" s="23"/>
      <c r="D10" s="24"/>
      <c r="E10" s="25"/>
      <c r="F10" s="25"/>
      <c r="G10" s="25"/>
      <c r="H10" s="25"/>
      <c r="I10" s="25"/>
      <c r="J10" s="25"/>
      <c r="K10" s="25"/>
      <c r="L10" s="25"/>
      <c r="M10" s="25"/>
      <c r="N10" s="25"/>
      <c r="O10" s="25"/>
      <c r="P10" s="25"/>
      <c r="Q10" s="26"/>
      <c r="R10" s="26"/>
    </row>
    <row r="11" spans="1:21" ht="15" customHeight="1" x14ac:dyDescent="0.2">
      <c r="A11" s="13"/>
      <c r="B11" s="27" t="s">
        <v>6</v>
      </c>
      <c r="C11" s="28"/>
      <c r="D11" s="28"/>
      <c r="E11" s="29"/>
      <c r="F11" s="29"/>
      <c r="G11" s="29"/>
      <c r="H11" s="29"/>
      <c r="I11" s="29"/>
      <c r="J11" s="29"/>
      <c r="K11" s="29"/>
      <c r="L11" s="29"/>
      <c r="M11" s="29"/>
      <c r="N11" s="29"/>
      <c r="O11" s="29"/>
      <c r="P11" s="29"/>
      <c r="Q11" s="30" t="s">
        <v>0</v>
      </c>
      <c r="R11" s="30" t="s">
        <v>0</v>
      </c>
      <c r="T11" s="72"/>
      <c r="U11" s="72"/>
    </row>
    <row r="12" spans="1:21" ht="15" customHeight="1" x14ac:dyDescent="0.2">
      <c r="A12" s="13"/>
      <c r="B12" s="31" t="s">
        <v>22</v>
      </c>
      <c r="C12" s="28"/>
      <c r="D12" s="28"/>
      <c r="E12" s="29"/>
      <c r="F12" s="29"/>
      <c r="G12" s="29"/>
      <c r="H12" s="29"/>
      <c r="I12" s="29"/>
      <c r="J12" s="29"/>
      <c r="K12" s="29"/>
      <c r="L12" s="29"/>
      <c r="M12" s="29"/>
      <c r="N12" s="29"/>
      <c r="O12" s="29"/>
      <c r="P12" s="29"/>
      <c r="Q12" s="30"/>
      <c r="R12" s="30"/>
      <c r="T12" s="72"/>
      <c r="U12" s="72"/>
    </row>
    <row r="13" spans="1:21" ht="15" customHeight="1" x14ac:dyDescent="0.2">
      <c r="A13" s="13"/>
      <c r="B13" s="31"/>
      <c r="C13" s="28"/>
      <c r="D13" s="28"/>
      <c r="E13" s="29"/>
      <c r="F13" s="29"/>
      <c r="G13" s="29"/>
      <c r="H13" s="29"/>
      <c r="I13" s="29"/>
      <c r="J13" s="29"/>
      <c r="K13" s="29"/>
      <c r="L13" s="29"/>
      <c r="M13" s="29"/>
      <c r="N13" s="29"/>
      <c r="O13" s="29"/>
      <c r="P13" s="29"/>
      <c r="Q13" s="30"/>
      <c r="R13" s="30"/>
      <c r="T13" s="72"/>
      <c r="U13" s="72"/>
    </row>
    <row r="14" spans="1:21" ht="15" customHeight="1" x14ac:dyDescent="0.2">
      <c r="B14" s="32" t="s">
        <v>4</v>
      </c>
      <c r="C14" s="32"/>
      <c r="D14" s="32"/>
      <c r="E14" s="33">
        <v>377891</v>
      </c>
      <c r="F14" s="33">
        <v>43191</v>
      </c>
      <c r="G14" s="33">
        <v>29262</v>
      </c>
      <c r="H14" s="33">
        <v>31371</v>
      </c>
      <c r="I14" s="33">
        <v>33941</v>
      </c>
      <c r="J14" s="33">
        <v>36385</v>
      </c>
      <c r="K14" s="33">
        <v>37630</v>
      </c>
      <c r="L14" s="33">
        <v>39081</v>
      </c>
      <c r="M14" s="33">
        <v>41257</v>
      </c>
      <c r="N14" s="33">
        <v>43614</v>
      </c>
      <c r="O14" s="33">
        <v>45431</v>
      </c>
      <c r="P14" s="33"/>
      <c r="Q14" s="34">
        <v>174150</v>
      </c>
      <c r="R14" s="34">
        <v>381163</v>
      </c>
    </row>
    <row r="15" spans="1:21" ht="7.15" customHeight="1" x14ac:dyDescent="0.2">
      <c r="B15" s="32"/>
      <c r="C15" s="32"/>
      <c r="D15" s="32"/>
      <c r="E15" s="33"/>
      <c r="F15" s="33"/>
      <c r="G15" s="33"/>
      <c r="H15" s="33"/>
      <c r="I15" s="33"/>
      <c r="J15" s="33"/>
      <c r="K15" s="33"/>
      <c r="L15" s="33"/>
      <c r="M15" s="33"/>
      <c r="N15" s="33"/>
      <c r="O15" s="33"/>
      <c r="P15" s="33"/>
      <c r="Q15" s="34"/>
      <c r="R15" s="34"/>
    </row>
    <row r="16" spans="1:21" ht="15" customHeight="1" x14ac:dyDescent="0.2">
      <c r="B16" s="32" t="s">
        <v>8</v>
      </c>
      <c r="C16" s="32"/>
      <c r="D16" s="32"/>
      <c r="E16" s="33">
        <v>377836</v>
      </c>
      <c r="F16" s="33">
        <v>43311</v>
      </c>
      <c r="G16" s="33">
        <v>29320</v>
      </c>
      <c r="H16" s="33">
        <v>31369</v>
      </c>
      <c r="I16" s="33">
        <v>33902</v>
      </c>
      <c r="J16" s="33">
        <v>36359</v>
      </c>
      <c r="K16" s="33">
        <v>37613</v>
      </c>
      <c r="L16" s="33">
        <v>39071</v>
      </c>
      <c r="M16" s="33">
        <v>41247</v>
      </c>
      <c r="N16" s="33">
        <v>43599</v>
      </c>
      <c r="O16" s="33">
        <v>45414</v>
      </c>
      <c r="P16" s="33"/>
      <c r="Q16" s="34">
        <v>174261</v>
      </c>
      <c r="R16" s="34">
        <v>381205</v>
      </c>
    </row>
    <row r="17" spans="2:18" ht="7.15" customHeight="1" x14ac:dyDescent="0.2">
      <c r="B17" s="35"/>
      <c r="C17" s="32"/>
      <c r="D17" s="32"/>
      <c r="E17" s="36"/>
      <c r="F17" s="36"/>
      <c r="G17" s="36"/>
      <c r="H17" s="36"/>
      <c r="I17" s="36"/>
      <c r="J17" s="36"/>
      <c r="K17" s="36"/>
      <c r="L17" s="36"/>
      <c r="M17" s="36"/>
      <c r="N17" s="36"/>
      <c r="O17" s="36"/>
      <c r="P17" s="36"/>
      <c r="Q17" s="34"/>
      <c r="R17" s="34"/>
    </row>
    <row r="18" spans="2:18" ht="15" customHeight="1" x14ac:dyDescent="0.2">
      <c r="B18" s="32" t="s">
        <v>9</v>
      </c>
      <c r="C18" s="32"/>
      <c r="D18" s="32"/>
      <c r="E18" s="36"/>
      <c r="F18" s="36"/>
      <c r="G18" s="36"/>
      <c r="H18" s="36"/>
      <c r="I18" s="36"/>
      <c r="J18" s="36"/>
      <c r="K18" s="36"/>
      <c r="L18" s="36"/>
      <c r="M18" s="36"/>
      <c r="N18" s="36"/>
      <c r="O18" s="36"/>
      <c r="P18" s="36"/>
      <c r="Q18" s="34"/>
      <c r="R18" s="34"/>
    </row>
    <row r="19" spans="2:18" ht="4.1500000000000004" customHeight="1" x14ac:dyDescent="0.2">
      <c r="B19" s="32"/>
      <c r="C19" s="32"/>
      <c r="D19" s="32"/>
      <c r="E19" s="36"/>
      <c r="F19" s="36"/>
      <c r="G19" s="36"/>
      <c r="H19" s="36"/>
      <c r="I19" s="36"/>
      <c r="J19" s="36"/>
      <c r="K19" s="36"/>
      <c r="L19" s="36"/>
      <c r="M19" s="36"/>
      <c r="N19" s="36"/>
      <c r="O19" s="36"/>
      <c r="P19" s="36"/>
      <c r="Q19" s="34"/>
      <c r="R19" s="34"/>
    </row>
    <row r="20" spans="2:18" ht="15" customHeight="1" x14ac:dyDescent="0.2">
      <c r="B20" s="35" t="s">
        <v>10</v>
      </c>
      <c r="C20" s="32"/>
      <c r="D20" s="32"/>
      <c r="E20" s="36"/>
      <c r="F20" s="36"/>
      <c r="G20" s="36"/>
      <c r="H20" s="36"/>
      <c r="I20" s="36"/>
      <c r="J20" s="36"/>
      <c r="K20" s="36"/>
      <c r="L20" s="36"/>
      <c r="M20" s="36"/>
      <c r="N20" s="36"/>
      <c r="O20" s="36"/>
      <c r="P20" s="36"/>
      <c r="Q20" s="34"/>
      <c r="R20" s="34"/>
    </row>
    <row r="21" spans="2:18" ht="15" customHeight="1" x14ac:dyDescent="0.2">
      <c r="B21" s="28"/>
      <c r="C21" s="35" t="s">
        <v>7</v>
      </c>
      <c r="D21" s="32"/>
      <c r="E21" s="33">
        <v>59880</v>
      </c>
      <c r="F21" s="33">
        <v>33955</v>
      </c>
      <c r="G21" s="33">
        <v>28970</v>
      </c>
      <c r="H21" s="33">
        <v>30945</v>
      </c>
      <c r="I21" s="33">
        <v>33440</v>
      </c>
      <c r="J21" s="33">
        <v>35870</v>
      </c>
      <c r="K21" s="33">
        <v>37105</v>
      </c>
      <c r="L21" s="33">
        <v>38550</v>
      </c>
      <c r="M21" s="33">
        <v>40720</v>
      </c>
      <c r="N21" s="33">
        <v>43065</v>
      </c>
      <c r="O21" s="33">
        <v>44860</v>
      </c>
      <c r="P21" s="33"/>
      <c r="Q21" s="34">
        <v>163180</v>
      </c>
      <c r="R21" s="34">
        <v>367480</v>
      </c>
    </row>
    <row r="22" spans="2:18" ht="15" customHeight="1" x14ac:dyDescent="0.2">
      <c r="B22" s="35"/>
      <c r="C22" s="28" t="s">
        <v>8</v>
      </c>
      <c r="D22" s="32"/>
      <c r="E22" s="33">
        <v>59880</v>
      </c>
      <c r="F22" s="33">
        <v>33955</v>
      </c>
      <c r="G22" s="33">
        <v>28970</v>
      </c>
      <c r="H22" s="33">
        <v>30945</v>
      </c>
      <c r="I22" s="33">
        <v>33440</v>
      </c>
      <c r="J22" s="33">
        <v>35870</v>
      </c>
      <c r="K22" s="33">
        <v>37105</v>
      </c>
      <c r="L22" s="33">
        <v>38550</v>
      </c>
      <c r="M22" s="33">
        <v>40720</v>
      </c>
      <c r="N22" s="33">
        <v>43065</v>
      </c>
      <c r="O22" s="33">
        <v>44860</v>
      </c>
      <c r="P22" s="33"/>
      <c r="Q22" s="34">
        <v>163180</v>
      </c>
      <c r="R22" s="34">
        <v>367480</v>
      </c>
    </row>
    <row r="23" spans="2:18" ht="4.1500000000000004" customHeight="1" x14ac:dyDescent="0.2">
      <c r="B23" s="35"/>
      <c r="C23" s="28"/>
      <c r="D23" s="32"/>
      <c r="E23" s="33"/>
      <c r="F23" s="33"/>
      <c r="G23" s="33"/>
      <c r="H23" s="33"/>
      <c r="I23" s="33"/>
      <c r="J23" s="33"/>
      <c r="K23" s="33"/>
      <c r="L23" s="33"/>
      <c r="M23" s="33"/>
      <c r="N23" s="33"/>
      <c r="O23" s="33"/>
      <c r="P23" s="33"/>
      <c r="Q23" s="34"/>
      <c r="R23" s="34"/>
    </row>
    <row r="24" spans="2:18" ht="15" customHeight="1" x14ac:dyDescent="0.2">
      <c r="B24" s="35" t="s">
        <v>11</v>
      </c>
      <c r="C24" s="32"/>
      <c r="D24" s="32"/>
      <c r="E24" s="36"/>
      <c r="F24" s="36"/>
      <c r="G24" s="36"/>
      <c r="H24" s="36"/>
      <c r="I24" s="36"/>
      <c r="J24" s="36"/>
      <c r="K24" s="36"/>
      <c r="L24" s="36"/>
      <c r="M24" s="36"/>
      <c r="N24" s="36"/>
      <c r="O24" s="36"/>
      <c r="P24" s="36"/>
      <c r="Q24" s="34"/>
      <c r="R24" s="34"/>
    </row>
    <row r="25" spans="2:18" ht="15" customHeight="1" x14ac:dyDescent="0.2">
      <c r="B25" s="28"/>
      <c r="C25" s="35" t="s">
        <v>7</v>
      </c>
      <c r="D25" s="32"/>
      <c r="E25" s="33">
        <v>8800</v>
      </c>
      <c r="F25" s="33">
        <v>1720</v>
      </c>
      <c r="G25" s="33">
        <v>125</v>
      </c>
      <c r="H25" s="33">
        <v>230</v>
      </c>
      <c r="I25" s="33">
        <v>275</v>
      </c>
      <c r="J25" s="33">
        <v>275</v>
      </c>
      <c r="K25" s="33">
        <v>275</v>
      </c>
      <c r="L25" s="33">
        <v>275</v>
      </c>
      <c r="M25" s="33">
        <v>275</v>
      </c>
      <c r="N25" s="33">
        <v>275</v>
      </c>
      <c r="O25" s="33">
        <v>275</v>
      </c>
      <c r="P25" s="33"/>
      <c r="Q25" s="34">
        <v>2625</v>
      </c>
      <c r="R25" s="34">
        <v>4000</v>
      </c>
    </row>
    <row r="26" spans="2:18" ht="15" customHeight="1" x14ac:dyDescent="0.2">
      <c r="B26" s="35"/>
      <c r="C26" s="28" t="s">
        <v>8</v>
      </c>
      <c r="D26" s="32"/>
      <c r="E26" s="33">
        <v>8800</v>
      </c>
      <c r="F26" s="33">
        <v>1720</v>
      </c>
      <c r="G26" s="33">
        <v>125</v>
      </c>
      <c r="H26" s="33">
        <v>230</v>
      </c>
      <c r="I26" s="33">
        <v>275</v>
      </c>
      <c r="J26" s="33">
        <v>275</v>
      </c>
      <c r="K26" s="33">
        <v>275</v>
      </c>
      <c r="L26" s="33">
        <v>275</v>
      </c>
      <c r="M26" s="33">
        <v>275</v>
      </c>
      <c r="N26" s="33">
        <v>275</v>
      </c>
      <c r="O26" s="33">
        <v>275</v>
      </c>
      <c r="P26" s="33"/>
      <c r="Q26" s="34">
        <v>2625</v>
      </c>
      <c r="R26" s="34">
        <v>4000</v>
      </c>
    </row>
    <row r="27" spans="2:18" ht="4.1500000000000004" customHeight="1" x14ac:dyDescent="0.2">
      <c r="B27" s="35"/>
      <c r="C27" s="28"/>
      <c r="D27" s="32"/>
      <c r="E27" s="33"/>
      <c r="F27" s="33"/>
      <c r="G27" s="33"/>
      <c r="H27" s="33"/>
      <c r="I27" s="33"/>
      <c r="J27" s="33"/>
      <c r="K27" s="33"/>
      <c r="L27" s="33"/>
      <c r="M27" s="33"/>
      <c r="N27" s="33"/>
      <c r="O27" s="33"/>
      <c r="P27" s="33"/>
      <c r="Q27" s="34"/>
      <c r="R27" s="34"/>
    </row>
    <row r="28" spans="2:18" ht="15" customHeight="1" x14ac:dyDescent="0.2">
      <c r="B28" s="35" t="s">
        <v>18</v>
      </c>
      <c r="C28" s="32"/>
      <c r="D28" s="32"/>
      <c r="E28" s="36"/>
      <c r="F28" s="36"/>
      <c r="G28" s="36"/>
      <c r="H28" s="36"/>
      <c r="I28" s="36"/>
      <c r="J28" s="36"/>
      <c r="K28" s="36"/>
      <c r="L28" s="36"/>
      <c r="M28" s="36"/>
      <c r="N28" s="36"/>
      <c r="O28" s="36"/>
      <c r="P28" s="36"/>
      <c r="Q28" s="34"/>
      <c r="R28" s="34"/>
    </row>
    <row r="29" spans="2:18" ht="15" customHeight="1" x14ac:dyDescent="0.2">
      <c r="B29" s="28"/>
      <c r="C29" s="35" t="s">
        <v>7</v>
      </c>
      <c r="D29" s="32"/>
      <c r="E29" s="33">
        <v>162830</v>
      </c>
      <c r="F29" s="33">
        <v>4330</v>
      </c>
      <c r="G29" s="33">
        <v>0</v>
      </c>
      <c r="H29" s="33">
        <v>0</v>
      </c>
      <c r="I29" s="33">
        <v>0</v>
      </c>
      <c r="J29" s="33">
        <v>0</v>
      </c>
      <c r="K29" s="33">
        <v>0</v>
      </c>
      <c r="L29" s="33">
        <v>0</v>
      </c>
      <c r="M29" s="33">
        <v>0</v>
      </c>
      <c r="N29" s="33">
        <v>0</v>
      </c>
      <c r="O29" s="33">
        <v>0</v>
      </c>
      <c r="P29" s="33"/>
      <c r="Q29" s="34">
        <v>4330</v>
      </c>
      <c r="R29" s="34">
        <v>4330</v>
      </c>
    </row>
    <row r="30" spans="2:18" ht="15" customHeight="1" x14ac:dyDescent="0.2">
      <c r="B30" s="35"/>
      <c r="C30" s="28" t="s">
        <v>8</v>
      </c>
      <c r="D30" s="32"/>
      <c r="E30" s="33">
        <v>162830</v>
      </c>
      <c r="F30" s="33">
        <v>4330</v>
      </c>
      <c r="G30" s="33">
        <v>0</v>
      </c>
      <c r="H30" s="33">
        <v>0</v>
      </c>
      <c r="I30" s="33">
        <v>0</v>
      </c>
      <c r="J30" s="33">
        <v>0</v>
      </c>
      <c r="K30" s="33">
        <v>0</v>
      </c>
      <c r="L30" s="33">
        <v>0</v>
      </c>
      <c r="M30" s="33">
        <v>0</v>
      </c>
      <c r="N30" s="33">
        <v>0</v>
      </c>
      <c r="O30" s="33">
        <v>0</v>
      </c>
      <c r="P30" s="33"/>
      <c r="Q30" s="34">
        <v>4330</v>
      </c>
      <c r="R30" s="34">
        <v>4330</v>
      </c>
    </row>
    <row r="31" spans="2:18" ht="4.1500000000000004" customHeight="1" x14ac:dyDescent="0.2">
      <c r="B31" s="28"/>
      <c r="C31" s="37"/>
      <c r="D31" s="32"/>
      <c r="E31" s="36"/>
      <c r="F31" s="36"/>
      <c r="G31" s="36"/>
      <c r="H31" s="36"/>
      <c r="I31" s="36"/>
      <c r="J31" s="36"/>
      <c r="K31" s="36"/>
      <c r="L31" s="36"/>
      <c r="M31" s="36"/>
      <c r="N31" s="36"/>
      <c r="O31" s="36"/>
      <c r="P31" s="36"/>
      <c r="Q31" s="34"/>
      <c r="R31" s="34"/>
    </row>
    <row r="32" spans="2:18" ht="15" customHeight="1" x14ac:dyDescent="0.2">
      <c r="B32" s="35" t="s">
        <v>20</v>
      </c>
      <c r="C32" s="32"/>
      <c r="D32" s="32"/>
      <c r="E32" s="36"/>
      <c r="F32" s="36"/>
      <c r="G32" s="36"/>
      <c r="H32" s="36"/>
      <c r="I32" s="36"/>
      <c r="J32" s="36"/>
      <c r="K32" s="36"/>
      <c r="L32" s="36"/>
      <c r="M32" s="36"/>
      <c r="N32" s="36"/>
      <c r="O32" s="36"/>
      <c r="P32" s="36"/>
      <c r="Q32" s="34"/>
      <c r="R32" s="34"/>
    </row>
    <row r="33" spans="2:20" ht="15" customHeight="1" x14ac:dyDescent="0.2">
      <c r="B33" s="28"/>
      <c r="C33" s="35" t="s">
        <v>7</v>
      </c>
      <c r="D33" s="32"/>
      <c r="E33" s="33">
        <v>69140</v>
      </c>
      <c r="F33" s="33">
        <v>1050</v>
      </c>
      <c r="G33" s="33">
        <v>0</v>
      </c>
      <c r="H33" s="33">
        <v>0</v>
      </c>
      <c r="I33" s="33">
        <v>0</v>
      </c>
      <c r="J33" s="33">
        <v>0</v>
      </c>
      <c r="K33" s="33">
        <v>0</v>
      </c>
      <c r="L33" s="33">
        <v>0</v>
      </c>
      <c r="M33" s="33">
        <v>0</v>
      </c>
      <c r="N33" s="33">
        <v>0</v>
      </c>
      <c r="O33" s="33">
        <v>0</v>
      </c>
      <c r="P33" s="33"/>
      <c r="Q33" s="34">
        <v>1050</v>
      </c>
      <c r="R33" s="34">
        <v>1050</v>
      </c>
    </row>
    <row r="34" spans="2:20" ht="15" customHeight="1" x14ac:dyDescent="0.2">
      <c r="B34" s="35"/>
      <c r="C34" s="28" t="s">
        <v>8</v>
      </c>
      <c r="D34" s="32"/>
      <c r="E34" s="33">
        <v>69140</v>
      </c>
      <c r="F34" s="33">
        <v>1050</v>
      </c>
      <c r="G34" s="33">
        <v>0</v>
      </c>
      <c r="H34" s="33">
        <v>0</v>
      </c>
      <c r="I34" s="33">
        <v>0</v>
      </c>
      <c r="J34" s="33">
        <v>0</v>
      </c>
      <c r="K34" s="33">
        <v>0</v>
      </c>
      <c r="L34" s="33">
        <v>0</v>
      </c>
      <c r="M34" s="33">
        <v>0</v>
      </c>
      <c r="N34" s="33">
        <v>0</v>
      </c>
      <c r="O34" s="33">
        <v>0</v>
      </c>
      <c r="P34" s="33"/>
      <c r="Q34" s="34">
        <v>1050</v>
      </c>
      <c r="R34" s="34">
        <v>1050</v>
      </c>
    </row>
    <row r="35" spans="2:20" ht="4.1500000000000004" customHeight="1" x14ac:dyDescent="0.2">
      <c r="B35" s="28"/>
      <c r="C35" s="37"/>
      <c r="D35" s="32"/>
      <c r="E35" s="36"/>
      <c r="F35" s="36"/>
      <c r="G35" s="36"/>
      <c r="H35" s="36"/>
      <c r="I35" s="36"/>
      <c r="J35" s="36"/>
      <c r="K35" s="36"/>
      <c r="L35" s="36"/>
      <c r="M35" s="36"/>
      <c r="N35" s="36"/>
      <c r="O35" s="36"/>
      <c r="P35" s="36"/>
      <c r="Q35" s="34"/>
      <c r="R35" s="34"/>
    </row>
    <row r="36" spans="2:20" ht="15" customHeight="1" x14ac:dyDescent="0.2">
      <c r="B36" s="35" t="s">
        <v>19</v>
      </c>
      <c r="C36" s="32"/>
      <c r="D36" s="32"/>
      <c r="E36" s="36"/>
      <c r="F36" s="36"/>
      <c r="G36" s="36"/>
      <c r="H36" s="36"/>
      <c r="I36" s="36"/>
      <c r="J36" s="36"/>
      <c r="K36" s="36"/>
      <c r="L36" s="36"/>
      <c r="M36" s="36"/>
      <c r="N36" s="36"/>
      <c r="O36" s="36"/>
      <c r="P36" s="36"/>
      <c r="Q36" s="34"/>
      <c r="R36" s="34"/>
    </row>
    <row r="37" spans="2:20" ht="15" customHeight="1" x14ac:dyDescent="0.2">
      <c r="B37" s="28"/>
      <c r="C37" s="35" t="s">
        <v>7</v>
      </c>
      <c r="D37" s="32"/>
      <c r="E37" s="33">
        <v>76920</v>
      </c>
      <c r="F37" s="33">
        <v>1970</v>
      </c>
      <c r="G37" s="33">
        <v>0</v>
      </c>
      <c r="H37" s="33">
        <v>0</v>
      </c>
      <c r="I37" s="33">
        <v>0</v>
      </c>
      <c r="J37" s="33">
        <v>0</v>
      </c>
      <c r="K37" s="33">
        <v>0</v>
      </c>
      <c r="L37" s="33">
        <v>0</v>
      </c>
      <c r="M37" s="33">
        <v>0</v>
      </c>
      <c r="N37" s="33">
        <v>0</v>
      </c>
      <c r="O37" s="33">
        <v>0</v>
      </c>
      <c r="P37" s="33"/>
      <c r="Q37" s="34">
        <v>1970</v>
      </c>
      <c r="R37" s="34">
        <v>1970</v>
      </c>
    </row>
    <row r="38" spans="2:20" ht="15" customHeight="1" x14ac:dyDescent="0.2">
      <c r="B38" s="35"/>
      <c r="C38" s="28" t="s">
        <v>8</v>
      </c>
      <c r="D38" s="32"/>
      <c r="E38" s="33">
        <v>76920</v>
      </c>
      <c r="F38" s="33">
        <v>1970</v>
      </c>
      <c r="G38" s="33">
        <v>0</v>
      </c>
      <c r="H38" s="33">
        <v>0</v>
      </c>
      <c r="I38" s="33">
        <v>0</v>
      </c>
      <c r="J38" s="33">
        <v>0</v>
      </c>
      <c r="K38" s="33">
        <v>0</v>
      </c>
      <c r="L38" s="33">
        <v>0</v>
      </c>
      <c r="M38" s="33">
        <v>0</v>
      </c>
      <c r="N38" s="33">
        <v>0</v>
      </c>
      <c r="O38" s="33">
        <v>0</v>
      </c>
      <c r="P38" s="33"/>
      <c r="Q38" s="34">
        <v>1970</v>
      </c>
      <c r="R38" s="34">
        <v>1970</v>
      </c>
    </row>
    <row r="39" spans="2:20" ht="4.1500000000000004" customHeight="1" x14ac:dyDescent="0.2">
      <c r="B39" s="35"/>
      <c r="C39" s="28"/>
      <c r="D39" s="32"/>
      <c r="E39" s="33"/>
      <c r="F39" s="33"/>
      <c r="G39" s="33"/>
      <c r="H39" s="33"/>
      <c r="I39" s="33"/>
      <c r="J39" s="33"/>
      <c r="K39" s="33"/>
      <c r="L39" s="33"/>
      <c r="M39" s="33"/>
      <c r="N39" s="33"/>
      <c r="O39" s="33"/>
      <c r="P39" s="33"/>
      <c r="Q39" s="34"/>
      <c r="R39" s="34"/>
    </row>
    <row r="40" spans="2:20" ht="15" customHeight="1" x14ac:dyDescent="0.2">
      <c r="B40" s="35" t="s">
        <v>31</v>
      </c>
      <c r="C40" s="32"/>
      <c r="D40" s="32"/>
      <c r="E40" s="36"/>
      <c r="F40" s="36"/>
      <c r="G40" s="36"/>
      <c r="H40" s="36"/>
      <c r="I40" s="36"/>
      <c r="J40" s="36"/>
      <c r="K40" s="36"/>
      <c r="L40" s="36"/>
      <c r="M40" s="36"/>
      <c r="N40" s="36"/>
      <c r="O40" s="36"/>
      <c r="P40" s="36"/>
      <c r="Q40" s="34"/>
      <c r="R40" s="34"/>
    </row>
    <row r="41" spans="2:20" ht="15" customHeight="1" x14ac:dyDescent="0.2">
      <c r="B41" s="28"/>
      <c r="C41" s="35" t="s">
        <v>7</v>
      </c>
      <c r="D41" s="32"/>
      <c r="E41" s="33">
        <v>321</v>
      </c>
      <c r="F41" s="33">
        <v>166</v>
      </c>
      <c r="G41" s="33">
        <v>167</v>
      </c>
      <c r="H41" s="33">
        <v>196</v>
      </c>
      <c r="I41" s="33">
        <v>226</v>
      </c>
      <c r="J41" s="33">
        <v>240</v>
      </c>
      <c r="K41" s="33">
        <v>250</v>
      </c>
      <c r="L41" s="33">
        <v>256</v>
      </c>
      <c r="M41" s="33">
        <v>262</v>
      </c>
      <c r="N41" s="33">
        <v>274</v>
      </c>
      <c r="O41" s="33">
        <v>296</v>
      </c>
      <c r="P41" s="33"/>
      <c r="Q41" s="34">
        <v>995</v>
      </c>
      <c r="R41" s="34">
        <v>2333</v>
      </c>
    </row>
    <row r="42" spans="2:20" ht="15" customHeight="1" x14ac:dyDescent="0.2">
      <c r="B42" s="35"/>
      <c r="C42" s="28" t="s">
        <v>8</v>
      </c>
      <c r="D42" s="32"/>
      <c r="E42" s="33">
        <v>266</v>
      </c>
      <c r="F42" s="33">
        <v>286</v>
      </c>
      <c r="G42" s="33">
        <v>225</v>
      </c>
      <c r="H42" s="33">
        <v>194</v>
      </c>
      <c r="I42" s="33">
        <v>187</v>
      </c>
      <c r="J42" s="33">
        <v>214</v>
      </c>
      <c r="K42" s="33">
        <v>233</v>
      </c>
      <c r="L42" s="33">
        <v>246</v>
      </c>
      <c r="M42" s="33">
        <v>252</v>
      </c>
      <c r="N42" s="33">
        <v>259</v>
      </c>
      <c r="O42" s="33">
        <v>279</v>
      </c>
      <c r="P42" s="33"/>
      <c r="Q42" s="34">
        <v>1106</v>
      </c>
      <c r="R42" s="34">
        <v>2375</v>
      </c>
      <c r="T42" s="14"/>
    </row>
    <row r="43" spans="2:20" ht="7.15" customHeight="1" x14ac:dyDescent="0.2">
      <c r="B43" s="38"/>
      <c r="C43" s="39"/>
      <c r="D43" s="40"/>
      <c r="E43" s="41"/>
      <c r="F43" s="41"/>
      <c r="G43" s="41"/>
      <c r="H43" s="41"/>
      <c r="I43" s="41"/>
      <c r="J43" s="41"/>
      <c r="K43" s="41"/>
      <c r="L43" s="41"/>
      <c r="M43" s="41"/>
      <c r="N43" s="41"/>
      <c r="O43" s="41"/>
      <c r="P43" s="41"/>
      <c r="Q43" s="42"/>
      <c r="R43" s="42"/>
    </row>
    <row r="44" spans="2:20" ht="7.15" customHeight="1" x14ac:dyDescent="0.2">
      <c r="B44" s="37"/>
      <c r="C44" s="35"/>
      <c r="D44" s="32"/>
      <c r="E44" s="36"/>
      <c r="F44" s="36"/>
      <c r="G44" s="36"/>
      <c r="H44" s="36"/>
      <c r="I44" s="36"/>
      <c r="J44" s="36"/>
      <c r="K44" s="36"/>
      <c r="L44" s="36"/>
      <c r="M44" s="36"/>
      <c r="N44" s="36"/>
      <c r="O44" s="36"/>
      <c r="P44" s="36"/>
      <c r="Q44" s="34"/>
      <c r="R44" s="34"/>
    </row>
    <row r="45" spans="2:20" ht="15" customHeight="1" x14ac:dyDescent="0.2">
      <c r="B45" s="32" t="s">
        <v>12</v>
      </c>
      <c r="C45" s="28"/>
      <c r="D45" s="43"/>
      <c r="E45" s="44" t="s">
        <v>0</v>
      </c>
      <c r="F45" s="44" t="s">
        <v>0</v>
      </c>
      <c r="G45" s="44" t="s">
        <v>0</v>
      </c>
      <c r="H45" s="44" t="s">
        <v>0</v>
      </c>
      <c r="I45" s="44" t="s">
        <v>0</v>
      </c>
      <c r="J45" s="44" t="s">
        <v>0</v>
      </c>
      <c r="K45" s="44" t="s">
        <v>0</v>
      </c>
      <c r="L45" s="44" t="s">
        <v>0</v>
      </c>
      <c r="M45" s="44" t="s">
        <v>0</v>
      </c>
      <c r="N45" s="44" t="s">
        <v>0</v>
      </c>
      <c r="O45" s="44" t="s">
        <v>0</v>
      </c>
      <c r="P45" s="44"/>
      <c r="Q45" s="45" t="s">
        <v>0</v>
      </c>
      <c r="R45" s="45" t="s">
        <v>0</v>
      </c>
    </row>
    <row r="46" spans="2:20" ht="15" customHeight="1" x14ac:dyDescent="0.2">
      <c r="B46" s="35" t="s">
        <v>21</v>
      </c>
      <c r="C46" s="28"/>
      <c r="D46" s="43"/>
      <c r="E46" s="44"/>
      <c r="F46" s="44"/>
      <c r="G46" s="44"/>
      <c r="H46" s="44"/>
      <c r="I46" s="44"/>
      <c r="J46" s="44"/>
      <c r="K46" s="44"/>
      <c r="L46" s="44"/>
      <c r="M46" s="44"/>
      <c r="N46" s="44"/>
      <c r="O46" s="44"/>
      <c r="P46" s="44"/>
      <c r="Q46" s="45"/>
      <c r="R46" s="45"/>
      <c r="T46" s="14"/>
    </row>
    <row r="47" spans="2:20" ht="15" customHeight="1" x14ac:dyDescent="0.2">
      <c r="B47" s="46"/>
      <c r="C47" s="28"/>
      <c r="D47" s="43"/>
      <c r="E47" s="44"/>
      <c r="F47" s="44"/>
      <c r="G47" s="44"/>
      <c r="H47" s="44"/>
      <c r="I47" s="44"/>
      <c r="J47" s="44"/>
      <c r="K47" s="44"/>
      <c r="L47" s="44"/>
      <c r="M47" s="44"/>
      <c r="N47" s="44"/>
      <c r="O47" s="44"/>
      <c r="P47" s="44"/>
      <c r="Q47" s="45"/>
      <c r="R47" s="45"/>
    </row>
    <row r="48" spans="2:20" ht="15" customHeight="1" x14ac:dyDescent="0.2">
      <c r="B48" s="47" t="s">
        <v>13</v>
      </c>
      <c r="C48" s="31"/>
      <c r="D48" s="43"/>
      <c r="E48" s="48">
        <v>10</v>
      </c>
      <c r="F48" s="48">
        <v>6</v>
      </c>
      <c r="G48" s="48">
        <v>5.2</v>
      </c>
      <c r="H48" s="48">
        <v>5.5</v>
      </c>
      <c r="I48" s="48">
        <v>5.9</v>
      </c>
      <c r="J48" s="48">
        <v>6.1</v>
      </c>
      <c r="K48" s="48">
        <v>6.1</v>
      </c>
      <c r="L48" s="48">
        <v>6.1</v>
      </c>
      <c r="M48" s="48">
        <v>6.3</v>
      </c>
      <c r="N48" s="48">
        <v>6.4</v>
      </c>
      <c r="O48" s="48">
        <v>6.5</v>
      </c>
      <c r="P48" s="48"/>
      <c r="Q48" s="45" t="s">
        <v>5</v>
      </c>
      <c r="R48" s="45" t="s">
        <v>5</v>
      </c>
    </row>
    <row r="49" spans="1:20" ht="15" customHeight="1" x14ac:dyDescent="0.2">
      <c r="B49" s="31" t="s">
        <v>14</v>
      </c>
      <c r="C49" s="31"/>
      <c r="D49" s="43"/>
      <c r="E49" s="49">
        <v>316</v>
      </c>
      <c r="F49" s="49">
        <v>331</v>
      </c>
      <c r="G49" s="49">
        <v>342</v>
      </c>
      <c r="H49" s="49">
        <v>354</v>
      </c>
      <c r="I49" s="49">
        <v>366</v>
      </c>
      <c r="J49" s="49">
        <v>379</v>
      </c>
      <c r="K49" s="49">
        <v>391</v>
      </c>
      <c r="L49" s="49">
        <v>404</v>
      </c>
      <c r="M49" s="49">
        <v>416</v>
      </c>
      <c r="N49" s="49">
        <v>430</v>
      </c>
      <c r="O49" s="49">
        <v>443</v>
      </c>
      <c r="P49" s="49"/>
      <c r="Q49" s="45" t="s">
        <v>5</v>
      </c>
      <c r="R49" s="45" t="s">
        <v>5</v>
      </c>
    </row>
    <row r="50" spans="1:20" ht="15" customHeight="1" x14ac:dyDescent="0.2">
      <c r="B50" s="31" t="s">
        <v>15</v>
      </c>
      <c r="C50" s="31"/>
      <c r="D50" s="43"/>
      <c r="E50" s="48">
        <v>19</v>
      </c>
      <c r="F50" s="48">
        <v>17</v>
      </c>
      <c r="G50" s="48">
        <v>16.3</v>
      </c>
      <c r="H50" s="48">
        <v>15.8</v>
      </c>
      <c r="I50" s="48">
        <v>15.6</v>
      </c>
      <c r="J50" s="48">
        <v>15.6</v>
      </c>
      <c r="K50" s="48">
        <v>15.6</v>
      </c>
      <c r="L50" s="48">
        <v>15.6</v>
      </c>
      <c r="M50" s="48">
        <v>15.6</v>
      </c>
      <c r="N50" s="48">
        <v>15.6</v>
      </c>
      <c r="O50" s="48">
        <v>15.6</v>
      </c>
      <c r="P50" s="48"/>
      <c r="Q50" s="45" t="s">
        <v>5</v>
      </c>
      <c r="R50" s="45" t="s">
        <v>5</v>
      </c>
    </row>
    <row r="51" spans="1:20" ht="15" customHeight="1" x14ac:dyDescent="0.2">
      <c r="B51" s="31" t="s">
        <v>16</v>
      </c>
      <c r="C51" s="31"/>
      <c r="D51" s="43"/>
      <c r="E51" s="48">
        <v>161.30000000000001</v>
      </c>
      <c r="F51" s="48">
        <v>164.2</v>
      </c>
      <c r="G51" s="48">
        <v>166.6</v>
      </c>
      <c r="H51" s="48">
        <v>167.2</v>
      </c>
      <c r="I51" s="48">
        <v>167.4</v>
      </c>
      <c r="J51" s="48">
        <v>167.6</v>
      </c>
      <c r="K51" s="48">
        <v>168</v>
      </c>
      <c r="L51" s="48">
        <v>168.5</v>
      </c>
      <c r="M51" s="48">
        <v>169</v>
      </c>
      <c r="N51" s="48">
        <v>169.5</v>
      </c>
      <c r="O51" s="48">
        <v>169.9</v>
      </c>
      <c r="P51" s="48"/>
      <c r="Q51" s="45" t="s">
        <v>5</v>
      </c>
      <c r="R51" s="45" t="s">
        <v>5</v>
      </c>
    </row>
    <row r="52" spans="1:20" ht="15" customHeight="1" x14ac:dyDescent="0.2">
      <c r="B52" s="47" t="s">
        <v>17</v>
      </c>
      <c r="C52" s="31"/>
      <c r="D52" s="43"/>
      <c r="E52" s="48">
        <v>6</v>
      </c>
      <c r="F52" s="48">
        <v>4.0999999999999996</v>
      </c>
      <c r="G52" s="48">
        <v>3.7</v>
      </c>
      <c r="H52" s="48">
        <v>3.9</v>
      </c>
      <c r="I52" s="48">
        <v>4.2</v>
      </c>
      <c r="J52" s="48">
        <v>4.3</v>
      </c>
      <c r="K52" s="48">
        <v>4.3</v>
      </c>
      <c r="L52" s="48">
        <v>4.3</v>
      </c>
      <c r="M52" s="48">
        <v>4.4000000000000004</v>
      </c>
      <c r="N52" s="48">
        <v>4.5</v>
      </c>
      <c r="O52" s="48">
        <v>4.5</v>
      </c>
      <c r="P52" s="48"/>
      <c r="Q52" s="45" t="s">
        <v>5</v>
      </c>
      <c r="R52" s="45" t="s">
        <v>5</v>
      </c>
    </row>
    <row r="53" spans="1:20" ht="7.15" customHeight="1" x14ac:dyDescent="0.2">
      <c r="B53" s="50"/>
      <c r="C53" s="51"/>
      <c r="D53" s="52"/>
      <c r="E53" s="50"/>
      <c r="F53" s="50"/>
      <c r="G53" s="50"/>
      <c r="H53" s="50"/>
      <c r="I53" s="50"/>
      <c r="J53" s="50"/>
      <c r="K53" s="50"/>
      <c r="L53" s="50"/>
      <c r="M53" s="50"/>
      <c r="N53" s="50"/>
      <c r="O53" s="50"/>
      <c r="P53" s="50"/>
      <c r="Q53" s="50" t="str">
        <f t="shared" ref="Q53:Q54" si="0">IF(ISNUMBER(E53),SUM(E53:I53),"")</f>
        <v/>
      </c>
      <c r="R53" s="50" t="str">
        <f t="shared" ref="R53:R54" si="1">IF(ISNUMBER(E53),SUM(E53:N53),"")</f>
        <v/>
      </c>
    </row>
    <row r="54" spans="1:20" ht="7.15" customHeight="1" x14ac:dyDescent="0.2">
      <c r="B54" s="44"/>
      <c r="C54" s="53"/>
      <c r="D54" s="54"/>
      <c r="E54" s="44"/>
      <c r="F54" s="44"/>
      <c r="G54" s="44"/>
      <c r="H54" s="44"/>
      <c r="I54" s="44"/>
      <c r="J54" s="44"/>
      <c r="K54" s="44"/>
      <c r="L54" s="44"/>
      <c r="M54" s="44"/>
      <c r="N54" s="44"/>
      <c r="O54" s="44"/>
      <c r="P54" s="44"/>
      <c r="Q54" s="44" t="str">
        <f t="shared" si="0"/>
        <v/>
      </c>
      <c r="R54" s="44" t="str">
        <f t="shared" si="1"/>
        <v/>
      </c>
    </row>
    <row r="55" spans="1:20" ht="15" customHeight="1" x14ac:dyDescent="0.2">
      <c r="B55" s="58" t="s">
        <v>28</v>
      </c>
      <c r="C55" s="56"/>
      <c r="D55" s="57"/>
      <c r="E55" s="44"/>
      <c r="F55" s="44"/>
      <c r="G55" s="44"/>
      <c r="H55" s="44"/>
      <c r="I55" s="44"/>
      <c r="J55" s="44"/>
      <c r="K55" s="44"/>
      <c r="L55" s="44"/>
      <c r="M55" s="44"/>
      <c r="N55" s="44"/>
      <c r="O55" s="44"/>
      <c r="P55" s="44"/>
      <c r="Q55" s="44"/>
      <c r="R55" s="44"/>
    </row>
    <row r="56" spans="1:20" ht="15" customHeight="1" x14ac:dyDescent="0.2">
      <c r="A56" s="13"/>
      <c r="C56" s="58"/>
      <c r="D56" s="57"/>
      <c r="E56" s="44"/>
      <c r="F56" s="44"/>
      <c r="G56" s="44"/>
      <c r="H56" s="44"/>
      <c r="I56" s="44"/>
      <c r="J56" s="44"/>
      <c r="K56" s="44"/>
      <c r="L56" s="44"/>
      <c r="M56" s="44"/>
      <c r="N56" s="44"/>
      <c r="O56" s="44"/>
      <c r="P56" s="44"/>
      <c r="Q56" s="44"/>
      <c r="R56" s="44"/>
    </row>
    <row r="57" spans="1:20" ht="15" customHeight="1" x14ac:dyDescent="0.2">
      <c r="B57" s="58" t="s">
        <v>30</v>
      </c>
      <c r="C57" s="58"/>
      <c r="D57" s="57"/>
      <c r="E57" s="44"/>
      <c r="F57" s="44"/>
      <c r="G57" s="44"/>
      <c r="H57" s="44"/>
      <c r="I57" s="44"/>
      <c r="J57" s="44"/>
      <c r="K57" s="44"/>
      <c r="L57" s="44"/>
      <c r="M57" s="44"/>
      <c r="N57" s="44"/>
      <c r="O57" s="44"/>
      <c r="P57" s="44"/>
      <c r="Q57" s="44"/>
      <c r="R57" s="44"/>
    </row>
    <row r="58" spans="1:20" ht="3.95" customHeight="1" x14ac:dyDescent="0.2">
      <c r="B58" s="58"/>
      <c r="C58" s="58"/>
      <c r="D58" s="57"/>
      <c r="E58" s="44"/>
      <c r="F58" s="44"/>
      <c r="G58" s="44"/>
      <c r="H58" s="44"/>
      <c r="I58" s="44"/>
      <c r="J58" s="44"/>
      <c r="K58" s="44"/>
      <c r="L58" s="44"/>
      <c r="M58" s="44"/>
      <c r="N58" s="44"/>
      <c r="O58" s="44"/>
      <c r="P58" s="44"/>
      <c r="Q58" s="44"/>
      <c r="R58" s="44"/>
    </row>
    <row r="59" spans="1:20" ht="15" customHeight="1" x14ac:dyDescent="0.2">
      <c r="B59" s="70" t="s">
        <v>32</v>
      </c>
      <c r="C59" s="70"/>
      <c r="D59" s="70"/>
      <c r="E59" s="70"/>
      <c r="F59" s="70"/>
      <c r="G59" s="70"/>
      <c r="H59" s="70"/>
      <c r="I59" s="70"/>
      <c r="J59" s="70"/>
      <c r="K59" s="70"/>
      <c r="L59" s="70"/>
      <c r="M59" s="70"/>
      <c r="N59" s="70"/>
      <c r="O59" s="70"/>
      <c r="P59" s="70"/>
      <c r="Q59" s="70"/>
      <c r="R59" s="70"/>
      <c r="S59" s="14" t="s">
        <v>27</v>
      </c>
    </row>
    <row r="60" spans="1:20" ht="15" customHeight="1" x14ac:dyDescent="0.2">
      <c r="B60" s="70"/>
      <c r="C60" s="70"/>
      <c r="D60" s="70"/>
      <c r="E60" s="70"/>
      <c r="F60" s="70"/>
      <c r="G60" s="70"/>
      <c r="H60" s="70"/>
      <c r="I60" s="70"/>
      <c r="J60" s="70"/>
      <c r="K60" s="70"/>
      <c r="L60" s="70"/>
      <c r="M60" s="70"/>
      <c r="N60" s="70"/>
      <c r="O60" s="70"/>
      <c r="P60" s="70"/>
      <c r="Q60" s="70"/>
      <c r="R60" s="70"/>
    </row>
    <row r="61" spans="1:20" ht="23.25" customHeight="1" x14ac:dyDescent="0.2">
      <c r="B61" s="70"/>
      <c r="C61" s="70"/>
      <c r="D61" s="70"/>
      <c r="E61" s="70"/>
      <c r="F61" s="70"/>
      <c r="G61" s="70"/>
      <c r="H61" s="70"/>
      <c r="I61" s="70"/>
      <c r="J61" s="70"/>
      <c r="K61" s="70"/>
      <c r="L61" s="70"/>
      <c r="M61" s="70"/>
      <c r="N61" s="70"/>
      <c r="O61" s="70"/>
      <c r="P61" s="70"/>
      <c r="Q61" s="70"/>
      <c r="R61" s="70"/>
    </row>
    <row r="62" spans="1:20" ht="4.1500000000000004" customHeight="1" x14ac:dyDescent="0.2">
      <c r="B62" s="55"/>
      <c r="C62" s="59"/>
      <c r="D62" s="59"/>
      <c r="E62" s="59"/>
      <c r="F62" s="59"/>
      <c r="G62" s="59"/>
      <c r="H62" s="59"/>
      <c r="I62" s="59"/>
      <c r="J62" s="59"/>
      <c r="K62" s="59"/>
      <c r="L62" s="59"/>
      <c r="M62" s="59"/>
      <c r="N62" s="59"/>
      <c r="O62" s="59"/>
      <c r="P62" s="59"/>
      <c r="Q62" s="59"/>
      <c r="R62" s="59"/>
    </row>
    <row r="63" spans="1:20" ht="15" customHeight="1" x14ac:dyDescent="0.2">
      <c r="B63" s="29" t="s">
        <v>23</v>
      </c>
      <c r="C63" s="71" t="s">
        <v>26</v>
      </c>
      <c r="D63" s="71"/>
      <c r="E63" s="71"/>
      <c r="F63" s="71"/>
      <c r="G63" s="71"/>
      <c r="H63" s="71"/>
      <c r="I63" s="71"/>
      <c r="J63" s="71"/>
      <c r="K63" s="71"/>
      <c r="L63" s="71"/>
      <c r="M63" s="71"/>
      <c r="N63" s="71"/>
      <c r="O63" s="71"/>
      <c r="P63" s="71"/>
      <c r="Q63" s="71"/>
      <c r="R63" s="60"/>
      <c r="T63" s="14"/>
    </row>
    <row r="64" spans="1:20" ht="15" customHeight="1" x14ac:dyDescent="0.2">
      <c r="B64" s="61"/>
      <c r="C64" s="71"/>
      <c r="D64" s="71"/>
      <c r="E64" s="71"/>
      <c r="F64" s="71"/>
      <c r="G64" s="71"/>
      <c r="H64" s="71"/>
      <c r="I64" s="71"/>
      <c r="J64" s="71"/>
      <c r="K64" s="71"/>
      <c r="L64" s="71"/>
      <c r="M64" s="71"/>
      <c r="N64" s="71"/>
      <c r="O64" s="71"/>
      <c r="P64" s="71"/>
      <c r="Q64" s="71"/>
      <c r="R64" s="60"/>
    </row>
    <row r="65" spans="2:18" ht="15" customHeight="1" x14ac:dyDescent="0.2">
      <c r="B65" s="16"/>
      <c r="C65" s="17"/>
      <c r="D65" s="17"/>
      <c r="E65" s="17"/>
      <c r="F65" s="17"/>
      <c r="G65" s="17"/>
      <c r="H65" s="17"/>
      <c r="I65" s="17"/>
      <c r="J65" s="17"/>
      <c r="K65" s="17"/>
      <c r="L65" s="17"/>
      <c r="M65" s="17"/>
      <c r="N65" s="17"/>
      <c r="O65" s="17"/>
      <c r="P65" s="17"/>
      <c r="Q65" s="17"/>
    </row>
    <row r="66" spans="2:18" ht="15" customHeight="1" x14ac:dyDescent="0.2">
      <c r="B66" s="12"/>
    </row>
    <row r="67" spans="2:18" ht="15" customHeight="1" x14ac:dyDescent="0.2">
      <c r="B67" s="16"/>
      <c r="C67" s="18" t="s">
        <v>29</v>
      </c>
      <c r="D67" s="15"/>
      <c r="E67" s="15"/>
      <c r="F67" s="15"/>
      <c r="G67" s="15"/>
      <c r="H67" s="15"/>
      <c r="I67" s="15"/>
      <c r="J67" s="15"/>
      <c r="K67" s="15"/>
      <c r="L67" s="15"/>
      <c r="M67" s="15"/>
      <c r="N67" s="15"/>
      <c r="O67" s="15"/>
      <c r="P67" s="15"/>
      <c r="Q67" s="15"/>
      <c r="R67" s="15"/>
    </row>
    <row r="68" spans="2:18" ht="15" customHeight="1" x14ac:dyDescent="0.2">
      <c r="B68" s="15"/>
      <c r="C68" s="15"/>
      <c r="D68" s="15"/>
      <c r="E68" s="15"/>
      <c r="F68" s="15"/>
      <c r="G68" s="15"/>
      <c r="H68" s="15"/>
      <c r="I68" s="15"/>
      <c r="J68" s="15"/>
      <c r="K68" s="15"/>
      <c r="L68" s="15"/>
      <c r="M68" s="15"/>
      <c r="N68" s="15"/>
      <c r="O68" s="15"/>
      <c r="P68" s="15"/>
      <c r="Q68" s="15"/>
      <c r="R68" s="15"/>
    </row>
    <row r="69" spans="2:18" ht="15" customHeight="1" x14ac:dyDescent="0.2">
      <c r="B69" s="15"/>
      <c r="C69" s="15"/>
      <c r="D69" s="15"/>
      <c r="E69" s="15"/>
      <c r="F69" s="15"/>
      <c r="G69" s="15"/>
      <c r="H69" s="15"/>
      <c r="I69" s="15"/>
      <c r="J69" s="15"/>
      <c r="K69" s="15"/>
      <c r="L69" s="15"/>
      <c r="M69" s="15"/>
      <c r="N69" s="15"/>
      <c r="O69" s="15"/>
      <c r="P69" s="15"/>
      <c r="Q69" s="15"/>
      <c r="R69" s="15"/>
    </row>
    <row r="70" spans="2:18" ht="15" customHeight="1" x14ac:dyDescent="0.2"/>
    <row r="71" spans="2:18" x14ac:dyDescent="0.2">
      <c r="C71" s="69"/>
      <c r="D71" s="69"/>
      <c r="E71" s="69"/>
      <c r="F71" s="69"/>
      <c r="G71" s="69"/>
      <c r="H71" s="69"/>
      <c r="I71" s="69"/>
      <c r="J71" s="69"/>
      <c r="K71" s="69"/>
      <c r="L71" s="69"/>
      <c r="M71" s="69"/>
      <c r="N71" s="69"/>
      <c r="O71" s="69"/>
      <c r="P71" s="69"/>
      <c r="Q71" s="69"/>
      <c r="R71" s="69"/>
    </row>
    <row r="72" spans="2:18" x14ac:dyDescent="0.2">
      <c r="C72" s="69"/>
      <c r="D72" s="69"/>
      <c r="E72" s="69"/>
      <c r="F72" s="69"/>
      <c r="G72" s="69"/>
      <c r="H72" s="69"/>
      <c r="I72" s="69"/>
      <c r="J72" s="69"/>
      <c r="K72" s="69"/>
      <c r="L72" s="69"/>
      <c r="M72" s="69"/>
      <c r="N72" s="69"/>
      <c r="O72" s="69"/>
      <c r="P72" s="69"/>
      <c r="Q72" s="69"/>
      <c r="R72" s="69"/>
    </row>
    <row r="73" spans="2:18" x14ac:dyDescent="0.2">
      <c r="C73" s="69"/>
      <c r="D73" s="69"/>
      <c r="E73" s="69"/>
      <c r="F73" s="69"/>
      <c r="G73" s="69"/>
      <c r="H73" s="69"/>
      <c r="I73" s="69"/>
      <c r="J73" s="69"/>
      <c r="K73" s="69"/>
      <c r="L73" s="69"/>
      <c r="M73" s="69"/>
      <c r="N73" s="69"/>
      <c r="O73" s="69"/>
      <c r="P73" s="69"/>
      <c r="Q73" s="69"/>
      <c r="R73" s="69"/>
    </row>
    <row r="74" spans="2:18" x14ac:dyDescent="0.2">
      <c r="C74" s="69"/>
      <c r="D74" s="69"/>
      <c r="E74" s="69"/>
      <c r="F74" s="69"/>
      <c r="G74" s="69"/>
      <c r="H74" s="69"/>
      <c r="I74" s="69"/>
      <c r="J74" s="69"/>
      <c r="K74" s="69"/>
      <c r="L74" s="69"/>
      <c r="M74" s="69"/>
      <c r="N74" s="69"/>
      <c r="O74" s="69"/>
      <c r="P74" s="69"/>
      <c r="Q74" s="69"/>
      <c r="R74" s="69"/>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9">
    <mergeCell ref="N1:O1"/>
    <mergeCell ref="C71:R74"/>
    <mergeCell ref="B59:R61"/>
    <mergeCell ref="C63:Q64"/>
    <mergeCell ref="T11:U13"/>
    <mergeCell ref="M3:R3"/>
    <mergeCell ref="Q8:Q9"/>
    <mergeCell ref="R8:R9"/>
    <mergeCell ref="B7:D7"/>
  </mergeCells>
  <conditionalFormatting sqref="E54:P54 E53:R53 Q45:R48 E45:P47 B52:B54">
    <cfRule type="cellIs" dxfId="20" priority="40" operator="equal">
      <formula>0</formula>
    </cfRule>
    <cfRule type="cellIs" dxfId="19" priority="41" operator="between">
      <formula>0</formula>
      <formula>0.49</formula>
    </cfRule>
    <cfRule type="cellIs" dxfId="18" priority="42" operator="between">
      <formula>0</formula>
      <formula>-0.49</formula>
    </cfRule>
  </conditionalFormatting>
  <conditionalFormatting sqref="Q54:R54">
    <cfRule type="cellIs" dxfId="17" priority="31" operator="equal">
      <formula>0</formula>
    </cfRule>
    <cfRule type="cellIs" dxfId="16" priority="32" operator="between">
      <formula>0</formula>
      <formula>0.49</formula>
    </cfRule>
    <cfRule type="cellIs" dxfId="15" priority="33" operator="between">
      <formula>0</formula>
      <formula>-0.49</formula>
    </cfRule>
  </conditionalFormatting>
  <conditionalFormatting sqref="B48">
    <cfRule type="cellIs" dxfId="14" priority="13" operator="equal">
      <formula>0</formula>
    </cfRule>
    <cfRule type="cellIs" dxfId="13" priority="14" operator="between">
      <formula>0</formula>
      <formula>0.49</formula>
    </cfRule>
    <cfRule type="cellIs" dxfId="12" priority="15" operator="between">
      <formula>0</formula>
      <formula>-0.49</formula>
    </cfRule>
  </conditionalFormatting>
  <conditionalFormatting sqref="Q49:R49">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Q52:R52">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Q50:R50">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Q51:R51">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rintOptions horizontalCentered="1"/>
  <pageMargins left="0.45" right="0.45208223972003497" top="0.28999999999999998" bottom="0.49" header="0.3" footer="0.3"/>
  <pageSetup scale="77" fitToHeight="0" orientation="landscape" horizontalDpi="4294967295" verticalDpi="4294967295" r:id="rId2"/>
  <rowBreaks count="1" manualBreakCount="1">
    <brk id="56" max="16383"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UI and TAA_07-2021</vt:lpstr>
      <vt:lpstr>'UI and TAA_07-2021'!Print_Area</vt:lpstr>
      <vt:lpstr>'UI and TAA_07-2021'!Print_Titles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2021-07-19T14:36:49Z</cp:lastPrinted>
  <dcterms:created xsi:type="dcterms:W3CDTF">2019-02-07T21:22:59Z</dcterms:created>
  <dcterms:modified xsi:type="dcterms:W3CDTF">2021-07-21T13:24:54Z</dcterms:modified>
</cp:coreProperties>
</file>